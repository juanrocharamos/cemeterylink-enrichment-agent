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e76b73e2c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reland Summary" sheetId="1" r:id="R725a461cdd2a46f5"/>
    <x:sheet xmlns:r="http://schemas.openxmlformats.org/officeDocument/2006/relationships" name="Ireland Processed Sample" sheetId="2" r:id="Re0767db7b1234a66"/>
    <x:sheet xmlns:r="http://schemas.openxmlformats.org/officeDocument/2006/relationships" name="Ireland Cemetery Research" sheetId="3" r:id="R6a2a217b0bbb4f95"/>
    <x:sheet xmlns:r="http://schemas.openxmlformats.org/officeDocument/2006/relationships" name="UK Second-User Test" sheetId="4" r:id="R8d59385016994593"/>
    <x:sheet xmlns:r="http://schemas.openxmlformats.org/officeDocument/2006/relationships" name="V1 vs V2 Evolution" sheetId="5" r:id="R61ef13fe387d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60670afe94cbb" /><Relationship Type="http://schemas.openxmlformats.org/officeDocument/2006/relationships/theme" Target="/xl/theme/theme1.xml" Id="R5c312df49c874d83" /><Relationship Type="http://schemas.openxmlformats.org/officeDocument/2006/relationships/sharedStrings" Target="/xl/sharedStrings.xml" Id="Reeb54763026542c5" /><Relationship Type="http://schemas.openxmlformats.org/officeDocument/2006/relationships/worksheet" Target="/xl/worksheets/sheet1.xml" Id="R725a461cdd2a46f5" /><Relationship Type="http://schemas.openxmlformats.org/officeDocument/2006/relationships/worksheet" Target="/xl/worksheets/sheet2.xml" Id="Re0767db7b1234a66" /><Relationship Type="http://schemas.openxmlformats.org/officeDocument/2006/relationships/worksheet" Target="/xl/worksheets/sheet3.xml" Id="R6a2a217b0bbb4f95" /><Relationship Type="http://schemas.openxmlformats.org/officeDocument/2006/relationships/worksheet" Target="/xl/worksheets/sheet4.xml" Id="R8d59385016994593" /><Relationship Type="http://schemas.openxmlformats.org/officeDocument/2006/relationships/worksheet" Target="/xl/worksheets/sheet5.xml" Id="R61ef13fe387d4f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4" hidden="0" customWidth="1"/>
    <x:col min="4" max="4" width="24" hidden="0" customWidth="1"/>
    <x:col min="5" max="5" width="22" hidden="0" customWidth="1"/>
  </x:cols>
  <x:sheetData>
    <x:row r="1" ht="28" customHeight="1">
      <x:c r="A1" s="4" t="str">
        <x:v>CemeteryLink — Ireland V2 Evidence Summary</x:v>
      </x:c>
      <x:c r="B1" s="4"/>
      <x:c r="C1" s="4"/>
      <x:c r="D1" s="4"/>
      <x:c r="E1" s="4"/>
    </x:row>
    <x:row r="3">
      <x:c r="A3" s="11" t="str">
        <x:v>Metric</x:v>
      </x:c>
      <x:c r="B3" s="11" t="str">
        <x:v>Measured value</x:v>
      </x:c>
      <x:c r="C3" s="26"/>
      <x:c r="D3" s="11" t="str">
        <x:v>Status / control</x:v>
      </x:c>
      <x:c r="E3" s="11" t="str">
        <x:v>Value</x:v>
      </x:c>
    </x:row>
    <x:row r="4">
      <x:c r="A4" s="26" t="str">
        <x:v>Processed operations</x:v>
      </x:c>
      <x:c r="B4" s="26" t="n">
        <x:v>1051</x:v>
      </x:c>
      <x:c r="C4" s="26"/>
      <x:c r="D4" s="26" t="str">
        <x:v>Cursor source</x:v>
      </x:c>
      <x:c r="E4" s="26" t="str">
        <x:v>wikidata_ireland</x:v>
      </x:c>
    </x:row>
    <x:row r="5">
      <x:c r="A5" s="26" t="str">
        <x:v>Created</x:v>
      </x:c>
      <x:c r="B5" s="26" t="n">
        <x:v>314</x:v>
      </x:c>
      <x:c r="C5" s="26"/>
      <x:c r="D5" s="26" t="str">
        <x:v>Cursor offset</x:v>
      </x:c>
      <x:c r="E5" s="26" t="n">
        <x:v>1435</x:v>
      </x:c>
    </x:row>
    <x:row r="6">
      <x:c r="A6" s="26" t="str">
        <x:v>Updated</x:v>
      </x:c>
      <x:c r="B6" s="26" t="n">
        <x:v>737</x:v>
      </x:c>
      <x:c r="C6" s="26"/>
      <x:c r="D6" s="26" t="str">
        <x:v>Cursor finished</x:v>
      </x:c>
      <x:c r="E6" s="26" t="str">
        <x:v>Yes</x:v>
      </x:c>
    </x:row>
    <x:row r="7">
      <x:c r="A7" s="26" t="str">
        <x:v>Distinct graves affected</x:v>
      </x:c>
      <x:c r="B7" s="26" t="n">
        <x:v>1045</x:v>
      </x:c>
      <x:c r="C7" s="26"/>
      <x:c r="D7" s="26" t="str">
        <x:v>Approx. elapsed</x:v>
      </x:c>
      <x:c r="E7" s="26" t="str">
        <x:v>2 h 19 min</x:v>
      </x:c>
    </x:row>
    <x:row r="8">
      <x:c r="A8" s="26" t="str">
        <x:v>Distinct cemeteries affected</x:v>
      </x:c>
      <x:c r="B8" s="26" t="n">
        <x:v>236</x:v>
      </x:c>
      <x:c r="C8" s="26"/>
      <x:c r="D8" s="26"/>
      <x:c r="E8" s="26"/>
    </x:row>
    <x:row r="9">
      <x:c r="A9" s="26" t="str">
        <x:v>Cemetery research records</x:v>
      </x:c>
      <x:c r="B9" s="26" t="n">
        <x:v>140</x:v>
      </x:c>
      <x:c r="C9" s="26"/>
      <x:c r="D9" s="11" t="str">
        <x:v>Derived indicator</x:v>
      </x:c>
      <x:c r="E9" s="11" t="str">
        <x:v>Value</x:v>
      </x:c>
    </x:row>
    <x:row r="10">
      <x:c r="A10" s="26" t="str">
        <x:v>Run start</x:v>
      </x:c>
      <x:c r="B10" s="26" t="str">
        <x:v>2026-09-25 22:38:24</x:v>
      </x:c>
      <x:c r="C10" s="26"/>
      <x:c r="D10" s="26" t="str">
        <x:v>Created share</x:v>
      </x:c>
      <x:c r="E10" s="27" t="n">
        <x:f>B5/B4</x:f>
        <x:v>0.2987630827783064</x:v>
      </x:c>
    </x:row>
    <x:row r="11">
      <x:c r="A11" s="26" t="str">
        <x:v>Run end</x:v>
      </x:c>
      <x:c r="B11" s="26" t="str">
        <x:v>2026-09-26 00:57:30</x:v>
      </x:c>
      <x:c r="C11" s="26"/>
      <x:c r="D11" s="26" t="str">
        <x:v>Updated share</x:v>
      </x:c>
      <x:c r="E11" s="27" t="n">
        <x:f>B6/B4</x:f>
        <x:v>0.7012369172216937</x:v>
      </x:c>
    </x:row>
    <x:row r="12">
      <x:c r="A12" s="26"/>
      <x:c r="B12" s="26"/>
      <x:c r="C12" s="26"/>
      <x:c r="D12" s="26" t="str">
        <x:v>Approx. ops/hour</x:v>
      </x:c>
      <x:c r="E12" s="28" t="n">
        <x:f>B4/(139/60)</x:f>
        <x:v>453.6690647482014</x:v>
      </x:c>
    </x:row>
    <x:row r="13">
      <x:c r="A13" s="26"/>
      <x:c r="B13" s="26"/>
      <x:c r="C13" s="26"/>
      <x:c r="D13" s="26"/>
      <x:c r="E13" s="26"/>
    </x:row>
    <x:row r="14">
      <x:c r="A14" s="22" t="str">
        <x:v>Evidence source: metrics extracted from retained local SQLite audit state on 26/09/2026. The completed Ireland V2 run reported 737 UPDATED and 314 CREATED records.</x:v>
      </x:c>
      <x:c r="B14" s="22"/>
      <x:c r="C14" s="22"/>
      <x:c r="D14" s="22"/>
      <x:c r="E14" s="22"/>
    </x:row>
  </x:sheetData>
  <x:mergeCells>
    <x:mergeCell ref="A1:E1"/>
    <x:mergeCell ref="A14:E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2" hidden="0" customWidth="1"/>
    <x:col min="4" max="4" width="12" hidden="0" customWidth="1"/>
    <x:col min="5" max="5" width="13" hidden="0" customWidth="1"/>
    <x:col min="6" max="6" width="13" hidden="0" customWidth="1"/>
    <x:col min="7" max="7" width="34" hidden="0" customWidth="1"/>
    <x:col min="8" max="8" width="32" hidden="0" customWidth="1"/>
  </x:cols>
  <x:sheetData>
    <x:row r="1" ht="28" customHeight="1">
      <x:c r="A1" s="4" t="str">
        <x:v>Ireland — Representative Processed Results</x:v>
      </x:c>
      <x:c r="B1" s="4"/>
      <x:c r="C1" s="4"/>
      <x:c r="D1" s="4"/>
      <x:c r="E1" s="4"/>
      <x:c r="F1" s="4"/>
      <x:c r="G1" s="4"/>
      <x:c r="H1" s="4"/>
    </x:row>
    <x:row r="3">
      <x:c r="A3" s="22" t="str">
        <x:v>Public evidence note: raw SQLite rows are retained internally and are not included in this repository. The examples below are representative production outputs documented during the evidence review; no raw database rows have been fabricated.</x:v>
      </x:c>
      <x:c r="B3" s="22"/>
      <x:c r="C3" s="22"/>
      <x:c r="D3" s="22"/>
      <x:c r="E3" s="22"/>
      <x:c r="F3" s="22"/>
      <x:c r="G3" s="22"/>
      <x:c r="H3" s="22"/>
    </x:row>
    <x:row r="7">
      <x:c r="A7" s="32" t="str">
        <x:v>Person / grave</x:v>
      </x:c>
      <x:c r="B7" s="32" t="str">
        <x:v>Cemetery</x:v>
      </x:c>
      <x:c r="C7" s="32" t="str">
        <x:v>Observed result</x:v>
      </x:c>
      <x:c r="D7" s="32" t="str">
        <x:v>Grave ID</x:v>
      </x:c>
      <x:c r="E7" s="32" t="str">
        <x:v>Birth</x:v>
      </x:c>
      <x:c r="F7" s="32" t="str">
        <x:v>Death</x:v>
      </x:c>
      <x:c r="G7" s="32" t="str">
        <x:v>Location / notes</x:v>
      </x:c>
      <x:c r="H7" s="32" t="str">
        <x:v>Evidence basis</x:v>
      </x:c>
    </x:row>
    <x:row r="8">
      <x:c r="A8" s="33" t="str">
        <x:v>Narcissus Marsh</x:v>
      </x:c>
      <x:c r="B8" s="33" t="str">
        <x:v>St Patrick's Cathedral — Dublin — County Dublin — Ireland</x:v>
      </x:c>
      <x:c r="C8" s="33" t="str">
        <x:v>Existing cemetery with grave added/enriched</x:v>
      </x:c>
      <x:c r="D8" s="33" t="n">
        <x:v>18740</x:v>
      </x:c>
      <x:c r="E8" s="33" t="str">
        <x:v>1638-12-20</x:v>
      </x:c>
      <x:c r="F8" s="33" t="str">
        <x:v>1713-11-02</x:v>
      </x:c>
      <x:c r="G8" s="33" t="str">
        <x:v>Hannington / Dublin; Anglican priest, archbishop</x:v>
      </x:c>
      <x:c r="H8" s="33" t="str">
        <x:v>Production screenshots reviewed 26/09/2026</x:v>
      </x:c>
    </x:row>
    <x:row r="9">
      <x:c r="A9" s="33" t="str">
        <x:v>Seosamh Ó Mongáin</x:v>
      </x:c>
      <x:c r="B9" s="33" t="str">
        <x:v>Moyrus Cemetery — Moyrus — Galway — Ireland</x:v>
      </x:c>
      <x:c r="C9" s="33" t="str">
        <x:v>Grave linked to enriched cemetery</x:v>
      </x:c>
      <x:c r="D9" s="33"/>
      <x:c r="E9" s="33" t="str">
        <x:v>1880-03-04</x:v>
      </x:c>
      <x:c r="F9" s="33" t="str">
        <x:v>1951-03-12</x:v>
      </x:c>
      <x:c r="G9" s="33" t="str">
        <x:v>Visible in cemetery grave list</x:v>
      </x:c>
      <x:c r="H9" s="33" t="str">
        <x:v>Production screenshot reviewed 26/09/2026</x:v>
      </x:c>
    </x:row>
    <x:row r="10">
      <x:c r="A10" s="33" t="str">
        <x:v>Seosamh Ó Guairim</x:v>
      </x:c>
      <x:c r="B10" s="33" t="str">
        <x:v>Moyrus Cemetery — Moyrus — Galway — Ireland</x:v>
      </x:c>
      <x:c r="C10" s="33" t="str">
        <x:v>Grave linked to enriched cemetery</x:v>
      </x:c>
      <x:c r="D10" s="33"/>
      <x:c r="E10" s="33" t="str">
        <x:v>1955-12-12</x:v>
      </x:c>
      <x:c r="F10" s="33" t="str">
        <x:v>2017-03-06</x:v>
      </x:c>
      <x:c r="G10" s="33" t="str">
        <x:v>Visible in cemetery grave list</x:v>
      </x:c>
      <x:c r="H10" s="33" t="str">
        <x:v>Production screenshot reviewed 26/09/2026</x:v>
      </x:c>
    </x:row>
    <x:row r="11">
      <x:c r="A11" s="33" t="str">
        <x:v>Josie Sheáin Jeaic Mac Donncha</x:v>
      </x:c>
      <x:c r="B11" s="33" t="str">
        <x:v>Moyrus Cemetery — Moyrus — Galway — Ireland</x:v>
      </x:c>
      <x:c r="C11" s="33" t="str">
        <x:v>Grave linked to enriched cemetery</x:v>
      </x:c>
      <x:c r="D11" s="33"/>
      <x:c r="E11" s="33"/>
      <x:c r="F11" s="33" t="str">
        <x:v>2017-09-09</x:v>
      </x:c>
      <x:c r="G11" s="33" t="str">
        <x:v>Irish sean-nós singer</x:v>
      </x:c>
      <x:c r="H11" s="33" t="str">
        <x:v>Production screenshot reviewed 26/09/2026</x:v>
      </x:c>
    </x:row>
    <x:row r="12">
      <x:c r="A12" s="33" t="str">
        <x:v>Maurice FitzGerald Sandes Magill</x:v>
      </x:c>
      <x:c r="B12" s="33" t="str">
        <x:v>County Kerry — Munster — Ireland</x:v>
      </x:c>
      <x:c r="C12" s="33" t="str">
        <x:v>New/linked grave with structured biographical data</x:v>
      </x:c>
      <x:c r="D12" s="33" t="n">
        <x:v>19079</x:v>
      </x:c>
      <x:c r="E12" s="33" t="str">
        <x:v>1888-01-31</x:v>
      </x:c>
      <x:c r="F12" s="33" t="str">
        <x:v>1967-03-01</x:v>
      </x:c>
      <x:c r="G12" s="33" t="str">
        <x:v>Born County Kerry; died Spencers Wood</x:v>
      </x:c>
      <x:c r="H12" s="33" t="str">
        <x:v>Production screenshots reviewed 26/09/2026</x:v>
      </x:c>
    </x:row>
    <x:row r="14">
      <x:c r="A14" s="22" t="str">
        <x:v>Raw SQLite state is retained internally as primary audit material. Exact `processed` table rows can be exported directly from that retained database if required.</x:v>
      </x:c>
      <x:c r="B14" s="22"/>
      <x:c r="C14" s="22"/>
      <x:c r="D14" s="22"/>
      <x:c r="E14" s="22"/>
      <x:c r="F14" s="22"/>
      <x:c r="G14" s="22"/>
      <x:c r="H14" s="22"/>
    </x:row>
  </x:sheetData>
  <x:mergeCells>
    <x:mergeCell ref="A1:H1"/>
    <x:mergeCell ref="A3:H3"/>
    <x:mergeCell ref="A14:H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8" hidden="0" customWidth="1"/>
    <x:col min="4" max="4" width="34" hidden="0" customWidth="1"/>
    <x:col min="5" max="5" width="14" hidden="0" customWidth="1"/>
    <x:col min="6" max="6" width="34" hidden="0" customWidth="1"/>
    <x:col min="7" max="7" width="32" hidden="0" customWidth="1"/>
  </x:cols>
  <x:sheetData>
    <x:row r="1" ht="28" customHeight="1">
      <x:c r="A1" s="4" t="str">
        <x:v>Ireland — Cemetery Research Evidence</x:v>
      </x:c>
      <x:c r="B1" s="4"/>
      <x:c r="C1" s="4"/>
      <x:c r="D1" s="4"/>
      <x:c r="E1" s="4"/>
      <x:c r="F1" s="4"/>
      <x:c r="G1" s="4"/>
    </x:row>
    <x:row r="3">
      <x:c r="A3" s="11" t="str">
        <x:v>Research metric</x:v>
      </x:c>
      <x:c r="B3" s="11" t="str">
        <x:v>Measured value</x:v>
      </x:c>
    </x:row>
    <x:row r="4">
      <x:c r="A4" t="str">
        <x:v>Rows in cemetery_research</x:v>
      </x:c>
      <x:c r="B4" t="n">
        <x:v>140</x:v>
      </x:c>
    </x:row>
    <x:row r="5">
      <x:c r="A5" t="str">
        <x:v>Rows in osm_cache</x:v>
      </x:c>
      <x:c r="B5" t="n">
        <x:v>141</x:v>
      </x:c>
    </x:row>
    <x:row r="6">
      <x:c r="A6" t="str">
        <x:v>Distinct cemeteries affected in V2</x:v>
      </x:c>
      <x:c r="B6" t="n">
        <x:v>236</x:v>
      </x:c>
    </x:row>
    <x:row r="7">
      <x:c r="A7" t="str">
        <x:v>Research coverage vs affected cemeteries</x:v>
      </x:c>
      <x:c r="B7" s="16" t="n">
        <x:f>B4/B6</x:f>
        <x:v>0.5932203389830508</x:v>
      </x:c>
    </x:row>
    <x:row r="9">
      <x:c r="A9" s="32" t="str">
        <x:v>Cemetery</x:v>
      </x:c>
      <x:c r="B9" s="32" t="str">
        <x:v>Research outcome</x:v>
      </x:c>
      <x:c r="C9" s="32" t="str">
        <x:v>Description quality</x:v>
      </x:c>
      <x:c r="D9" s="32" t="str">
        <x:v>Website / external evidence</x:v>
      </x:c>
      <x:c r="E9" s="32" t="str">
        <x:v>Graves visible</x:v>
      </x:c>
      <x:c r="F9" s="32" t="str">
        <x:v>Observed limitation</x:v>
      </x:c>
      <x:c r="G9" s="32" t="str">
        <x:v>Evidence basis</x:v>
      </x:c>
    </x:row>
    <x:row r="10">
      <x:c r="A10" s="33" t="str">
        <x:v>Moyrus Cemetery — Moyrus — Galway — Ireland</x:v>
      </x:c>
      <x:c r="B10" s="33" t="str">
        <x:v>Location + researched narrative + external website</x:v>
      </x:c>
      <x:c r="C10" s="33" t="str">
        <x:v>Rich</x:v>
      </x:c>
      <x:c r="D10" s="33" t="str">
        <x:v>Galway Community Heritage / location map visible</x:v>
      </x:c>
      <x:c r="E10" s="33" t="n">
        <x:v>3</x:v>
      </x:c>
      <x:c r="F10" s="33" t="str">
        <x:v>None material in reviewed example</x:v>
      </x:c>
      <x:c r="G10" s="33" t="str">
        <x:v>Production screenshots reviewed 26/09/2026</x:v>
      </x:c>
    </x:row>
    <x:row r="11">
      <x:c r="A11" s="33" t="str">
        <x:v>St Patrick's Cathedral — Dublin — County Dublin — Ireland</x:v>
      </x:c>
      <x:c r="B11" s="33" t="str">
        <x:v>Existing cemetery retained; grave coverage increased</x:v>
      </x:c>
      <x:c r="C11" s="33" t="str">
        <x:v>Basic</x:v>
      </x:c>
      <x:c r="D11" s="33" t="str">
        <x:v>Official cathedral website visible</x:v>
      </x:c>
      <x:c r="E11" s="33" t="n">
        <x:v>25</x:v>
      </x:c>
      <x:c r="F11" s="33" t="str">
        <x:v>Cemetery description remains short/basic</x:v>
      </x:c>
      <x:c r="G11" s="33" t="str">
        <x:v>Production screenshots reviewed 26/09/2026</x:v>
      </x:c>
    </x:row>
    <x:row r="12">
      <x:c r="A12" s="33" t="str">
        <x:v>County Kerry — Munster — Ireland</x:v>
      </x:c>
      <x:c r="B12" s="33" t="str">
        <x:v>Basic cemetery record created/used to support grave association</x:v>
      </x:c>
      <x:c r="C12" s="33" t="str">
        <x:v>Basic</x:v>
      </x:c>
      <x:c r="D12" s="33" t="str">
        <x:v>County website visible</x:v>
      </x:c>
      <x:c r="E12" s="33" t="n">
        <x:v>1</x:v>
      </x:c>
      <x:c r="F12" s="33" t="str">
        <x:v>Cemetery narrative much weaker than grave enrichment</x:v>
      </x:c>
      <x:c r="G12" s="33" t="str">
        <x:v>Production screenshots reviewed 26/09/2026</x:v>
      </x:c>
    </x:row>
    <x:row r="14">
      <x:c r="A14" s="22" t="str">
        <x:v>Interpretation: the strongest demonstrated value is grave-level enrichment. Cemetery research improved the workflow enough to resolve/create burial locations, but narrative quality remains uneven and is explicitly treated as a known limitation.</x:v>
      </x:c>
      <x:c r="B14" s="22"/>
      <x:c r="C14" s="22"/>
      <x:c r="D14" s="22"/>
      <x:c r="E14" s="22"/>
      <x:c r="F14" s="22"/>
      <x:c r="G14" s="22"/>
    </x:row>
  </x:sheetData>
  <x:mergeCells>
    <x:mergeCell ref="A1:G1"/>
    <x:mergeCell ref="A14:G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4" hidden="0" customWidth="1"/>
    <x:col min="4" max="4" width="30" hidden="0" customWidth="1"/>
    <x:col min="5" max="5" width="30" hidden="0" customWidth="1"/>
    <x:col min="6" max="6" width="28" hidden="0" customWidth="1"/>
    <x:col min="7" max="7" width="28" hidden="0" customWidth="1"/>
    <x:col min="8" max="8" width="30" hidden="0" customWidth="1"/>
  </x:cols>
  <x:sheetData>
    <x:row r="1" ht="28" customHeight="1">
      <x:c r="A1" s="4" t="str">
        <x:v>United Kingdom — Second-User Operational Validation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Run</x:v>
      </x:c>
      <x:c r="B3" s="11" t="str">
        <x:v>People handled</x:v>
      </x:c>
      <x:c r="C3" s="11" t="str">
        <x:v>Cemeteries created</x:v>
      </x:c>
      <x:c r="D3" s="11" t="str">
        <x:v>Graves created</x:v>
      </x:c>
      <x:c r="E3" s="11" t="str">
        <x:v>Graves updated</x:v>
      </x:c>
      <x:c r="F3" s="11" t="str">
        <x:v>Runtime errors</x:v>
      </x:c>
    </x:row>
    <x:row r="4">
      <x:c r="A4" t="str">
        <x:v>Run 1</x:v>
      </x:c>
      <x:c r="B4" t="n">
        <x:v>10</x:v>
      </x:c>
      <x:c r="C4" t="n">
        <x:v>9</x:v>
      </x:c>
      <x:c r="D4" t="n">
        <x:v>10</x:v>
      </x:c>
      <x:c r="E4" t="n">
        <x:v>0</x:v>
      </x:c>
      <x:c r="F4" t="n">
        <x:v>0</x:v>
      </x:c>
    </x:row>
    <x:row r="5">
      <x:c r="A5" t="str">
        <x:v>Run 2</x:v>
      </x:c>
      <x:c r="B5" t="n">
        <x:v>10</x:v>
      </x:c>
      <x:c r="C5" t="n">
        <x:v>10</x:v>
      </x:c>
      <x:c r="D5" t="n">
        <x:v>10</x:v>
      </x:c>
      <x:c r="E5" t="n">
        <x:v>0</x:v>
      </x:c>
      <x:c r="F5" t="n">
        <x:v>0</x:v>
      </x:c>
    </x:row>
    <x:row r="6">
      <x:c r="A6" t="str">
        <x:v>Total</x:v>
      </x:c>
      <x:c r="B6" t="n">
        <x:v>20</x:v>
      </x:c>
      <x:c r="C6" t="n">
        <x:v>19</x:v>
      </x:c>
      <x:c r="D6" t="n">
        <x:v>20</x:v>
      </x:c>
      <x:c r="E6" t="n">
        <x:v>0</x:v>
      </x:c>
      <x:c r="F6" t="n">
        <x:v>0</x:v>
      </x:c>
    </x:row>
    <x:row r="8">
      <x:c r="A8" s="32" t="str">
        <x:v>Validation item</x:v>
      </x:c>
      <x:c r="B8" s="32" t="str">
        <x:v>Result</x:v>
      </x:c>
      <x:c r="C8" s="32"/>
      <x:c r="D8" s="32" t="str">
        <x:v>Example</x:v>
      </x:c>
      <x:c r="E8" s="32" t="str">
        <x:v>Cemetery</x:v>
      </x:c>
      <x:c r="F8" s="32" t="str">
        <x:v>Observed action</x:v>
      </x:c>
      <x:c r="G8" s="32" t="str">
        <x:v>Known IDs / result</x:v>
      </x:c>
      <x:c r="H8" s="32" t="str">
        <x:v>Evidence</x:v>
      </x:c>
    </x:row>
    <x:row r="9">
      <x:c r="A9" s="33" t="str">
        <x:v>Tester</x:v>
      </x:c>
      <x:c r="B9" s="33" t="str">
        <x:v>Second user</x:v>
      </x:c>
      <x:c r="C9" s="33"/>
      <x:c r="D9" s="33" t="str">
        <x:v>Thomas Montacute, 4th Earl of Salisbury</x:v>
      </x:c>
      <x:c r="E9" s="33" t="str">
        <x:v>Bisham Abbey</x:v>
      </x:c>
      <x:c r="F9" s="33" t="str">
        <x:v>New cemetery + grave</x:v>
      </x:c>
      <x:c r="G9" s="33" t="str">
        <x:v>Cemetery 19148; Grave 19149</x:v>
      </x:c>
      <x:c r="H9" s="33" t="str">
        <x:v>Terminal + production screenshots</x:v>
      </x:c>
    </x:row>
    <x:row r="10">
      <x:c r="A10" s="33" t="str">
        <x:v>Date</x:v>
      </x:c>
      <x:c r="B10" s="33" t="str">
        <x:v>26/09/2026</x:v>
      </x:c>
      <x:c r="C10" s="33"/>
      <x:c r="D10" s="33" t="str">
        <x:v>Helen Spurrell</x:v>
      </x:c>
      <x:c r="E10" s="33" t="str">
        <x:v>UK test cemetery from run 2</x:v>
      </x:c>
      <x:c r="F10" s="33" t="str">
        <x:v>New cemetery + grave</x:v>
      </x:c>
      <x:c r="G10" s="33" t="str">
        <x:v>Cemetery 19183; Grave 19184</x:v>
      </x:c>
      <x:c r="H10" s="33" t="str">
        <x:v>Terminal screenshot</x:v>
      </x:c>
    </x:row>
    <x:row r="11">
      <x:c r="A11" s="33" t="str">
        <x:v>Environment</x:v>
      </x:c>
      <x:c r="B11" s="33" t="str">
        <x:v>Preconfigured CemeteryLink development PC</x:v>
      </x:c>
      <x:c r="C11" s="33"/>
      <x:c r="D11" s="33" t="str">
        <x:v>Robert Burn</x:v>
      </x:c>
      <x:c r="E11" s="33" t="str">
        <x:v>Old Calton Burial Ground</x:v>
      </x:c>
      <x:c r="F11" s="33" t="str">
        <x:v>New cemetery + grave</x:v>
      </x:c>
      <x:c r="G11" s="33" t="str">
        <x:v>Cemetery 19185; Grave 19186</x:v>
      </x:c>
      <x:c r="H11" s="33" t="str">
        <x:v>Terminal screenshot</x:v>
      </x:c>
    </x:row>
    <x:row r="12">
      <x:c r="A12" s="33" t="str">
        <x:v>Instructions</x:v>
      </x:c>
      <x:c r="B12" s="33" t="str">
        <x:v>README + minimal clarification</x:v>
      </x:c>
      <x:c r="C12" s="33"/>
      <x:c r="D12" s="33" t="str">
        <x:v>Carlo Pinoli</x:v>
      </x:c>
      <x:c r="E12" s="33" t="str">
        <x:v>Brompton Cemetery</x:v>
      </x:c>
      <x:c r="F12" s="33" t="str">
        <x:v>New cemetery + grave</x:v>
      </x:c>
      <x:c r="G12" s="33" t="str">
        <x:v>Grave created; URL shown in terminal</x:v>
      </x:c>
      <x:c r="H12" s="33" t="str">
        <x:v>Terminal screenshot</x:v>
      </x:c>
    </x:row>
    <x:row r="13">
      <x:c r="A13" s="33" t="str">
        <x:v>Manual results reviewed</x:v>
      </x:c>
      <x:c r="B13" s="33" t="n">
        <x:v>5</x:v>
      </x:c>
      <x:c r="C13" s="33"/>
      <x:c r="D13" s="33"/>
      <x:c r="E13" s="33"/>
      <x:c r="F13" s="33"/>
      <x:c r="G13" s="33"/>
      <x:c r="H13" s="33"/>
    </x:row>
    <x:row r="14">
      <x:c r="A14" s="33" t="str">
        <x:v>Accepted without correction</x:v>
      </x:c>
      <x:c r="B14" s="33" t="n">
        <x:v>5</x:v>
      </x:c>
      <x:c r="C14" s="33"/>
      <x:c r="D14" s="33"/>
      <x:c r="E14" s="33"/>
      <x:c r="F14" s="33"/>
      <x:c r="G14" s="33"/>
      <x:c r="H14" s="33"/>
    </x:row>
    <x:row r="15">
      <x:c r="A15" s="33" t="str">
        <x:v>Incorrect cemetery/person matches</x:v>
      </x:c>
      <x:c r="B15" s="33" t="n">
        <x:v>0</x:v>
      </x:c>
      <x:c r="C15" s="33"/>
      <x:c r="D15" s="33"/>
      <x:c r="E15" s="33"/>
      <x:c r="F15" s="33"/>
      <x:c r="G15" s="33"/>
      <x:c r="H15" s="33"/>
    </x:row>
    <x:row r="16">
      <x:c r="A16" s="33" t="str">
        <x:v>Unsupported/doubtful information</x:v>
      </x:c>
      <x:c r="B16" s="33" t="n">
        <x:v>0</x:v>
      </x:c>
      <x:c r="C16" s="33"/>
      <x:c r="D16" s="33"/>
      <x:c r="E16" s="33"/>
      <x:c r="F16" s="33"/>
      <x:c r="G16" s="33"/>
      <x:c r="H16" s="33"/>
    </x:row>
    <x:row r="18">
      <x:c r="A18" s="22" t="str">
        <x:v>Tester feedback: the workflow was understandable and much faster than researching/entering records manually. The main usability issue was the exact launch command / configured Python environment. After the initial clarification, the tester reported being able to repeat the workflow and review outputs directly in CemeteryLink.</x:v>
      </x:c>
      <x:c r="B18" s="22"/>
      <x:c r="C18" s="22"/>
      <x:c r="D18" s="22"/>
      <x:c r="E18" s="22"/>
      <x:c r="F18" s="22"/>
      <x:c r="G18" s="22"/>
      <x:c r="H18" s="22"/>
    </x:row>
  </x:sheetData>
  <x:mergeCells>
    <x:mergeCell ref="A1:H1"/>
    <x:mergeCell ref="A18:H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14" hidden="0" customWidth="1"/>
    <x:col min="4" max="4" width="38" hidden="0" customWidth="1"/>
    <x:col min="5" max="5" width="4" hidden="0" customWidth="1"/>
    <x:col min="6" max="6" width="22" hidden="0" customWidth="1"/>
    <x:col min="7" max="7" width="45" hidden="0" customWidth="1"/>
  </x:cols>
  <x:sheetData>
    <x:row r="1" ht="28" customHeight="1">
      <x:c r="A1" s="4" t="str">
        <x:v>CemeteryLink Agent — V1 to Ireland V2 Evolution</x:v>
      </x:c>
      <x:c r="B1" s="4"/>
      <x:c r="C1" s="4"/>
      <x:c r="D1" s="4"/>
      <x:c r="E1" s="4"/>
      <x:c r="F1" s="4"/>
      <x:c r="G1" s="4"/>
    </x:row>
    <x:row r="3">
      <x:c r="A3" s="11" t="str">
        <x:v>Version / phase</x:v>
      </x:c>
      <x:c r="B3" s="11" t="str">
        <x:v>Metric</x:v>
      </x:c>
      <x:c r="C3" s="11" t="str">
        <x:v>Count</x:v>
      </x:c>
      <x:c r="D3" s="11" t="str">
        <x:v>Interpretation</x:v>
      </x:c>
      <x:c r="E3" s="26"/>
      <x:c r="F3" s="11" t="str">
        <x:v>V1 diagnostic</x:v>
      </x:c>
      <x:c r="G3" s="11" t="str">
        <x:v>Value</x:v>
      </x:c>
    </x:row>
    <x:row r="4">
      <x:c r="A4" s="26" t="str">
        <x:v>V1 historical workflow</x:v>
      </x:c>
      <x:c r="B4" s="26" t="str">
        <x:v>Total processed</x:v>
      </x:c>
      <x:c r="C4" s="26" t="n">
        <x:v>8335</x:v>
      </x:c>
      <x:c r="D4" s="26" t="str">
        <x:v>Initial broad processing run</x:v>
      </x:c>
      <x:c r="E4" s="26"/>
      <x:c r="F4" s="26" t="str">
        <x:v>Primary skip reason</x:v>
      </x:c>
      <x:c r="G4" s="26" t="str">
        <x:v>cemetery not found and coordinates missing</x:v>
      </x:c>
    </x:row>
    <x:row r="5">
      <x:c r="A5" s="26" t="str">
        <x:v>V1 historical workflow</x:v>
      </x:c>
      <x:c r="B5" s="26" t="str">
        <x:v>Published</x:v>
      </x:c>
      <x:c r="C5" s="26" t="n">
        <x:v>1556</x:v>
      </x:c>
      <x:c r="D5" s="26" t="str">
        <x:v>Successful publications</x:v>
      </x:c>
      <x:c r="E5" s="26"/>
      <x:c r="F5" s="26" t="str">
        <x:v>Rows with that reason</x:v>
      </x:c>
      <x:c r="G5" s="26" t="n">
        <x:v>6769</x:v>
      </x:c>
    </x:row>
    <x:row r="6">
      <x:c r="A6" s="26" t="str">
        <x:v>V1 historical workflow</x:v>
      </x:c>
      <x:c r="B6" s="26" t="str">
        <x:v>Skipped</x:v>
      </x:c>
      <x:c r="C6" s="26" t="n">
        <x:v>6769</x:v>
      </x:c>
      <x:c r="D6" s="26" t="str">
        <x:v>Could not continue</x:v>
      </x:c>
      <x:c r="E6" s="26"/>
      <x:c r="F6" s="26" t="str">
        <x:v>Share of V1 total</x:v>
      </x:c>
      <x:c r="G6" s="27" t="n">
        <x:f>G5/C4</x:f>
        <x:v>0.8121175764847031</x:v>
      </x:c>
    </x:row>
    <x:row r="7">
      <x:c r="A7" s="26" t="str">
        <x:v>V1 historical workflow</x:v>
      </x:c>
      <x:c r="B7" s="26" t="str">
        <x:v>Duplicate</x:v>
      </x:c>
      <x:c r="C7" s="26" t="n">
        <x:v>10</x:v>
      </x:c>
      <x:c r="D7" s="26" t="str">
        <x:v>Detected duplicates</x:v>
      </x:c>
      <x:c r="E7" s="26"/>
      <x:c r="F7" s="26" t="str">
        <x:v>Design response</x:v>
      </x:c>
      <x:c r="G7" s="26" t="str">
        <x:v>V2 researches/resolves/creates cemetery before continuing to the grave</x:v>
      </x:c>
    </x:row>
    <x:row r="8">
      <x:c r="A8" s="26" t="str">
        <x:v>Ireland V2</x:v>
      </x:c>
      <x:c r="B8" s="26" t="str">
        <x:v>Processed operations</x:v>
      </x:c>
      <x:c r="C8" s="26" t="n">
        <x:v>1051</x:v>
      </x:c>
      <x:c r="D8" s="26" t="str">
        <x:v>Completed Ireland-specific V2 run</x:v>
      </x:c>
      <x:c r="E8" s="26"/>
      <x:c r="F8" s="26"/>
      <x:c r="G8" s="26"/>
    </x:row>
    <x:row r="9">
      <x:c r="A9" s="26"/>
      <x:c r="B9" s="26"/>
      <x:c r="C9" s="26"/>
      <x:c r="D9" s="26"/>
      <x:c r="E9" s="26"/>
      <x:c r="F9" s="26"/>
      <x:c r="G9" s="26"/>
    </x:row>
    <x:row r="10">
      <x:c r="A10" s="11" t="str">
        <x:v>Ireland V2 status</x:v>
      </x:c>
      <x:c r="B10" s="11" t="str">
        <x:v>Count</x:v>
      </x:c>
      <x:c r="C10" s="11" t="str">
        <x:v>Share</x:v>
      </x:c>
      <x:c r="D10" s="11" t="str">
        <x:v>Meaning</x:v>
      </x:c>
      <x:c r="E10" s="26"/>
      <x:c r="F10" s="26"/>
      <x:c r="G10" s="26"/>
    </x:row>
    <x:row r="11">
      <x:c r="A11" s="26" t="str">
        <x:v>CREATED</x:v>
      </x:c>
      <x:c r="B11" s="26" t="n">
        <x:v>314</x:v>
      </x:c>
      <x:c r="C11" s="27" t="n">
        <x:f>B11/B13</x:f>
        <x:v>0.2987630827783064</x:v>
      </x:c>
      <x:c r="D11" s="26" t="str">
        <x:v>New record creation</x:v>
      </x:c>
      <x:c r="E11" s="26"/>
      <x:c r="F11" s="26"/>
      <x:c r="G11" s="26"/>
    </x:row>
    <x:row r="12">
      <x:c r="A12" s="26" t="str">
        <x:v>UPDATED</x:v>
      </x:c>
      <x:c r="B12" s="26" t="n">
        <x:v>737</x:v>
      </x:c>
      <x:c r="C12" s="27" t="n">
        <x:f>B12/B13</x:f>
        <x:v>0.7012369172216937</x:v>
      </x:c>
      <x:c r="D12" s="26" t="str">
        <x:v>Meaningful enrichment/update</x:v>
      </x:c>
      <x:c r="E12" s="26"/>
      <x:c r="F12" s="26"/>
      <x:c r="G12" s="26"/>
    </x:row>
    <x:row r="13">
      <x:c r="A13" s="26" t="str">
        <x:v>Total</x:v>
      </x:c>
      <x:c r="B13" s="26" t="n">
        <x:v>1051</x:v>
      </x:c>
      <x:c r="C13" s="27" t="n">
        <x:f>SUM(C11:C12)</x:f>
        <x:v>1</x:v>
      </x:c>
      <x:c r="D13" s="26" t="str">
        <x:v>Completed V2 operations</x:v>
      </x:c>
      <x:c r="E13" s="26"/>
      <x:c r="F13" s="26"/>
      <x:c r="G13" s="26"/>
    </x:row>
    <x:row r="14">
      <x:c r="A14" s="26"/>
      <x:c r="B14" s="26"/>
      <x:c r="C14" s="26"/>
      <x:c r="D14" s="26"/>
      <x:c r="E14" s="26"/>
      <x:c r="F14" s="26"/>
      <x:c r="G14" s="26"/>
    </x:row>
    <x:row r="15">
      <x:c r="A15" s="22" t="str">
        <x:v>Evidence narrative: the earlier workflow exposed a clear bottleneck — burial candidates were found, but the process often stopped when the cemetery was absent and coordinates were unavailable. Ireland V2 changed the sequence so the cemetery could be researched/resolved/created first, allowing the grave workflow to continue. The comparison is descriptive; V1 and V2 are not identical populations or run conditions.</x:v>
      </x:c>
      <x:c r="B15" s="22"/>
      <x:c r="C15" s="22"/>
      <x:c r="D15" s="22"/>
      <x:c r="E15" s="22"/>
      <x:c r="F15" s="22"/>
      <x:c r="G15" s="22"/>
    </x:row>
  </x:sheetData>
  <x:mergeCells>
    <x:mergeCell ref="A1:G1"/>
    <x:mergeCell ref="A15:G15"/>
  </x:mergeCells>
  <x:pageMargins left="0.7" right="0.7" top="0.75" bottom="0.75" header="0.3" footer="0.3"/>
</x:worksheet>
</file>